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1" autoFilterDateGrouping="1"/>
  </bookViews>
  <sheets>
    <sheet xmlns:r="http://schemas.openxmlformats.org/officeDocument/2006/relationships" name="PG70-10-- תא&quot;צ 25" sheetId="1" state="visible" r:id="rId1"/>
    <sheet xmlns:r="http://schemas.openxmlformats.org/officeDocument/2006/relationships" name="PG68-10-- תא&quot;צ 25" sheetId="2" state="visible" r:id="rId2"/>
    <sheet xmlns:r="http://schemas.openxmlformats.org/officeDocument/2006/relationships" name="אספלט תא&quot;צ  19בזלת PG70-10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rial"/>
      <charset val="177"/>
      <family val="2"/>
      <color theme="1"/>
      <sz val="11"/>
      <scheme val="minor"/>
    </font>
    <font>
      <name val="Arial"/>
      <family val="2"/>
      <b val="1"/>
      <sz val="11"/>
    </font>
    <font>
      <name val="Arial"/>
      <family val="2"/>
      <b val="1"/>
      <sz val="12"/>
    </font>
    <font>
      <name val="Arial"/>
      <family val="2"/>
      <b val="1"/>
      <color indexed="17"/>
      <sz val="12"/>
    </font>
    <font>
      <name val="Arial"/>
      <family val="2"/>
      <sz val="12"/>
    </font>
    <font>
      <name val="Arial"/>
      <family val="2"/>
      <sz val="10"/>
    </font>
    <font>
      <name val="Arial"/>
      <family val="2"/>
      <color indexed="57"/>
      <sz val="12"/>
    </font>
    <font>
      <name val="Arial"/>
      <family val="2"/>
      <color indexed="10"/>
      <sz val="12"/>
    </font>
    <font>
      <name val="Arial"/>
      <charset val="177"/>
      <family val="2"/>
      <sz val="8"/>
      <scheme val="minor"/>
    </font>
    <font>
      <name val="Arial"/>
      <family val="2"/>
      <b val="1"/>
      <color indexed="8"/>
      <sz val="10"/>
    </font>
    <font>
      <name val="Arial"/>
      <family val="2"/>
      <color rgb="FF000000"/>
      <sz val="9"/>
      <scheme val="minor"/>
    </font>
    <font>
      <name val="Arial"/>
      <family val="2"/>
      <b val="1"/>
      <sz val="10"/>
    </font>
    <font>
      <name val="Arial"/>
      <charset val="177"/>
      <family val="2"/>
      <color theme="1"/>
      <sz val="10"/>
      <scheme val="minor"/>
    </font>
    <font>
      <name val="David"/>
      <family val="2"/>
      <b val="1"/>
      <sz val="14"/>
      <u val="single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Dashed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medium">
        <color indexed="64"/>
      </bottom>
      <diagonal/>
    </border>
    <border>
      <left style="thin">
        <color indexed="64"/>
      </left>
      <right style="mediumDashed">
        <color indexed="64"/>
      </right>
      <top style="mediumDashed">
        <color indexed="64"/>
      </top>
      <bottom style="medium">
        <color indexed="64"/>
      </bottom>
      <diagonal/>
    </border>
    <border>
      <left style="thin">
        <color indexed="64"/>
      </left>
      <right/>
      <top style="mediumDashed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Dashed">
        <color indexed="64"/>
      </top>
      <bottom/>
      <diagonal/>
    </border>
    <border>
      <left/>
      <right style="thin">
        <color indexed="64"/>
      </right>
      <top style="medium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4" fillId="0" borderId="13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/>
    </xf>
    <xf numFmtId="49" fontId="4" fillId="0" borderId="28" applyAlignment="1" pivotButton="0" quotePrefix="0" xfId="0">
      <alignment horizontal="center" vertical="center"/>
    </xf>
    <xf numFmtId="49" fontId="5" fillId="0" borderId="28" applyAlignment="1" pivotButton="0" quotePrefix="0" xfId="0">
      <alignment horizontal="center" vertical="center"/>
    </xf>
    <xf numFmtId="49" fontId="5" fillId="0" borderId="28" applyAlignment="1" pivotButton="0" quotePrefix="0" xfId="0">
      <alignment horizontal="center" vertical="center" wrapText="1"/>
    </xf>
    <xf numFmtId="49" fontId="4" fillId="0" borderId="28" applyAlignment="1" pivotButton="0" quotePrefix="0" xfId="0">
      <alignment horizontal="center" vertical="center" wrapText="1"/>
    </xf>
    <xf numFmtId="49" fontId="4" fillId="0" borderId="29" applyAlignment="1" pivotButton="0" quotePrefix="0" xfId="0">
      <alignment horizontal="center" vertical="center"/>
    </xf>
    <xf numFmtId="49" fontId="4" fillId="0" borderId="30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14" fontId="5" fillId="0" borderId="34" applyAlignment="1" pivotButton="0" quotePrefix="0" xfId="0">
      <alignment horizontal="center" vertical="center"/>
    </xf>
    <xf numFmtId="14" fontId="5" fillId="0" borderId="34" applyAlignment="1" pivotButton="0" quotePrefix="0" xfId="0">
      <alignment horizontal="center" vertical="center" wrapText="1"/>
    </xf>
    <xf numFmtId="14" fontId="9" fillId="0" borderId="2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1" fillId="0" borderId="34" applyAlignment="1" pivotButton="0" quotePrefix="0" xfId="0">
      <alignment horizontal="center" vertical="center"/>
    </xf>
    <xf numFmtId="9" fontId="5" fillId="0" borderId="34" applyAlignment="1" pivotButton="0" quotePrefix="0" xfId="0">
      <alignment horizontal="center" vertical="center"/>
    </xf>
    <xf numFmtId="0" fontId="11" fillId="0" borderId="35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0" fontId="0" fillId="0" borderId="22" pivotButton="0" quotePrefix="0" xfId="0"/>
    <xf numFmtId="0" fontId="5" fillId="0" borderId="36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14" fontId="9" fillId="0" borderId="22" applyAlignment="1" pivotButton="0" quotePrefix="0" xfId="0">
      <alignment horizontal="center" vertical="center" wrapText="1"/>
    </xf>
    <xf numFmtId="0" fontId="13" fillId="2" borderId="3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right" vertical="center"/>
    </xf>
    <xf numFmtId="0" fontId="4" fillId="0" borderId="27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6" applyAlignment="1" pivotButton="0" quotePrefix="0" xfId="0">
      <alignment horizontal="center" vertical="center" wrapText="1"/>
    </xf>
    <xf numFmtId="0" fontId="2" fillId="2" borderId="24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16" applyAlignment="1" pivotButton="0" quotePrefix="0" xfId="0">
      <alignment horizontal="center" vertical="center" wrapText="1"/>
    </xf>
    <xf numFmtId="0" fontId="3" fillId="3" borderId="24" applyAlignment="1" pivotButton="0" quotePrefix="0" xfId="0">
      <alignment horizontal="center" vertical="center" wrapText="1"/>
    </xf>
    <xf numFmtId="14" fontId="4" fillId="0" borderId="11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4" fillId="0" borderId="25" applyAlignment="1" pivotButton="0" quotePrefix="0" xfId="0">
      <alignment horizontal="center" vertical="center" wrapText="1"/>
    </xf>
    <xf numFmtId="14" fontId="4" fillId="0" borderId="10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24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13" fillId="4" borderId="11" applyAlignment="1" pivotButton="0" quotePrefix="0" xfId="0">
      <alignment horizontal="center" vertical="center" wrapText="1"/>
    </xf>
    <xf numFmtId="0" fontId="13" fillId="4" borderId="37" applyAlignment="1" pivotButton="0" quotePrefix="0" xfId="0">
      <alignment horizontal="center" vertical="center" wrapText="1"/>
    </xf>
    <xf numFmtId="0" fontId="13" fillId="4" borderId="38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3" fillId="4" borderId="3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center" vertical="center" wrapText="1"/>
    </xf>
    <xf numFmtId="0" fontId="13" fillId="4" borderId="5" applyAlignment="1" pivotButton="0" quotePrefix="0" xfId="0">
      <alignment horizontal="center" vertical="center" wrapText="1"/>
    </xf>
    <xf numFmtId="14" fontId="5" fillId="0" borderId="39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13" fillId="4" borderId="4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55" applyAlignment="1" pivotButton="0" quotePrefix="0" xfId="0">
      <alignment horizontal="center" vertical="center"/>
    </xf>
    <xf numFmtId="0" fontId="0" fillId="0" borderId="2" pivotButton="0" quotePrefix="0" xfId="0"/>
    <xf numFmtId="0" fontId="1" fillId="0" borderId="42" applyAlignment="1" pivotButton="0" quotePrefix="0" xfId="0">
      <alignment horizontal="center" vertical="center"/>
    </xf>
    <xf numFmtId="0" fontId="1" fillId="0" borderId="56" applyAlignment="1" pivotButton="0" quotePrefix="0" xfId="0">
      <alignment horizontal="center" vertical="center"/>
    </xf>
    <xf numFmtId="0" fontId="0" fillId="0" borderId="7" pivotButton="0" quotePrefix="0" xfId="0"/>
    <xf numFmtId="0" fontId="1" fillId="0" borderId="53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42" applyAlignment="1" pivotButton="0" quotePrefix="0" xfId="0">
      <alignment horizontal="center" vertical="center" wrapText="1"/>
    </xf>
    <xf numFmtId="0" fontId="2" fillId="2" borderId="42" applyAlignment="1" pivotButton="0" quotePrefix="0" xfId="0">
      <alignment horizontal="center" vertical="center" wrapText="1"/>
    </xf>
    <xf numFmtId="0" fontId="3" fillId="3" borderId="42" applyAlignment="1" pivotButton="0" quotePrefix="0" xfId="0">
      <alignment horizontal="center" vertical="center" wrapText="1"/>
    </xf>
    <xf numFmtId="14" fontId="4" fillId="0" borderId="3" applyAlignment="1" pivotButton="0" quotePrefix="0" xfId="0">
      <alignment horizontal="center" vertical="center" wrapText="1"/>
    </xf>
    <xf numFmtId="14" fontId="4" fillId="0" borderId="42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12" pivotButton="0" quotePrefix="0" xfId="0"/>
    <xf numFmtId="0" fontId="4" fillId="0" borderId="50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52" pivotButton="0" quotePrefix="0" xfId="0"/>
    <xf numFmtId="0" fontId="0" fillId="0" borderId="45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33" pivotButton="0" quotePrefix="0" xfId="0"/>
    <xf numFmtId="0" fontId="0" fillId="0" borderId="47" pivotButton="0" quotePrefix="0" xfId="0"/>
    <xf numFmtId="0" fontId="13" fillId="4" borderId="10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38" pivotButton="0" quotePrefix="0" xfId="0"/>
    <xf numFmtId="0" fontId="13" fillId="2" borderId="4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"/>
  <sheetViews>
    <sheetView rightToLeft="1" workbookViewId="0">
      <selection activeCell="G17" sqref="G17"/>
    </sheetView>
  </sheetViews>
  <sheetFormatPr baseColWidth="8" defaultRowHeight="14"/>
  <cols>
    <col width="9.08203125" bestFit="1" customWidth="1" min="3" max="3"/>
    <col width="13" customWidth="1" min="4" max="4"/>
    <col width="23.1640625" customWidth="1" min="5" max="5"/>
    <col width="10.08203125" bestFit="1" customWidth="1" min="27" max="27"/>
  </cols>
  <sheetData>
    <row r="1" ht="14.5" customHeight="1" thickBot="1"/>
    <row r="2" ht="18.5" customHeight="1" thickBot="1">
      <c r="L2" s="80" t="inlineStr">
        <is>
          <t xml:space="preserve"> דו"ח ריכוז בקרת אספלטים</t>
        </is>
      </c>
      <c r="M2" s="81" t="n"/>
      <c r="N2" s="81" t="n"/>
      <c r="O2" s="81" t="n"/>
      <c r="P2" s="81" t="n"/>
      <c r="Q2" s="81" t="n"/>
      <c r="R2" s="81" t="n"/>
      <c r="S2" s="82" t="n"/>
    </row>
    <row r="3" ht="18.5" customHeight="1" thickBot="1">
      <c r="L3" s="24" t="n"/>
      <c r="M3" s="24" t="n"/>
      <c r="N3" s="24" t="n"/>
      <c r="O3" s="24" t="n"/>
      <c r="P3" s="24" t="n"/>
      <c r="Q3" s="24" t="n"/>
      <c r="R3" s="24" t="n"/>
      <c r="S3" s="24" t="n"/>
    </row>
    <row r="4" ht="14.5" customHeight="1" thickBot="1">
      <c r="L4" s="83" t="inlineStr">
        <is>
          <t>שם פרויקט:</t>
        </is>
      </c>
      <c r="M4" s="84" t="n"/>
      <c r="N4" s="85" t="n"/>
      <c r="O4" s="81" t="n"/>
      <c r="P4" s="81" t="n"/>
      <c r="Q4" s="81" t="n"/>
      <c r="R4" s="81" t="n"/>
      <c r="S4" s="82" t="n"/>
    </row>
    <row r="5" ht="14.5" customHeight="1" thickBot="1">
      <c r="L5" s="86" t="inlineStr">
        <is>
          <t>ניהול פרויקט</t>
        </is>
      </c>
      <c r="M5" s="87" t="n"/>
      <c r="N5" s="85" t="n"/>
      <c r="O5" s="81" t="n"/>
      <c r="P5" s="81" t="n"/>
      <c r="Q5" s="81" t="n"/>
      <c r="R5" s="81" t="n"/>
      <c r="S5" s="82" t="n"/>
    </row>
    <row r="6" ht="14.5" customHeight="1" thickBot="1">
      <c r="L6" s="88" t="inlineStr">
        <is>
          <t>שם הקבלן</t>
        </is>
      </c>
      <c r="M6" s="89" t="n"/>
      <c r="N6" s="85" t="n"/>
      <c r="O6" s="81" t="n"/>
      <c r="P6" s="81" t="n"/>
      <c r="Q6" s="81" t="n"/>
      <c r="R6" s="81" t="n"/>
      <c r="S6" s="82" t="n"/>
    </row>
    <row r="7" ht="14.5" customHeight="1" thickBot="1">
      <c r="B7" s="23" t="n"/>
      <c r="C7" s="23" t="n"/>
      <c r="D7" s="23" t="n"/>
      <c r="E7" s="23" t="n"/>
      <c r="F7" s="23" t="n"/>
      <c r="G7" s="23" t="n"/>
      <c r="H7" s="23" t="n"/>
      <c r="I7" s="23" t="n"/>
      <c r="L7" s="90" t="inlineStr">
        <is>
          <t>קונטרולינג פריים בע"מ</t>
        </is>
      </c>
      <c r="M7" s="81" t="n"/>
      <c r="N7" s="81" t="n"/>
      <c r="O7" s="82" t="n"/>
      <c r="P7" s="90" t="inlineStr">
        <is>
          <t>הבטחת איכות -א.ו.ג.ן. בע"מ</t>
        </is>
      </c>
      <c r="Q7" s="81" t="n"/>
      <c r="R7" s="81" t="n"/>
      <c r="S7" s="82" t="n"/>
    </row>
    <row r="8">
      <c r="B8" s="23" t="n"/>
      <c r="C8" s="23" t="n"/>
      <c r="D8" s="23" t="n"/>
      <c r="E8" s="23" t="n"/>
      <c r="F8" s="23" t="n"/>
      <c r="G8" s="23" t="n"/>
      <c r="H8" s="23" t="n"/>
      <c r="I8" s="23" t="n"/>
    </row>
    <row r="9" ht="14.5" customHeight="1" thickBot="1"/>
    <row r="10" ht="30.65" customHeight="1" thickBot="1">
      <c r="A10" s="91" t="inlineStr">
        <is>
          <t>ביצוע ע"י QC/QA</t>
        </is>
      </c>
      <c r="B10" s="92" t="inlineStr">
        <is>
          <t>מס' רשימת תיוג</t>
        </is>
      </c>
      <c r="C10" s="92" t="inlineStr">
        <is>
          <t>מספר מדגם</t>
        </is>
      </c>
      <c r="D10" s="93" t="inlineStr">
        <is>
          <t>תאריך</t>
        </is>
      </c>
      <c r="E10" s="94" t="inlineStr">
        <is>
          <t>סוג תערובת</t>
        </is>
      </c>
      <c r="F10" s="95" t="inlineStr">
        <is>
          <t>קטע פיזור</t>
        </is>
      </c>
      <c r="G10" s="82" t="n"/>
      <c r="H10" s="61" t="inlineStr">
        <is>
          <t>מס' מנה</t>
        </is>
      </c>
      <c r="I10" s="38" t="inlineStr">
        <is>
          <t>כמות פיזור יומית</t>
        </is>
      </c>
      <c r="J10" s="38" t="inlineStr">
        <is>
          <t>קו דירוג     (% עובר)</t>
        </is>
      </c>
      <c r="K10" s="96" t="n"/>
      <c r="L10" s="96" t="n"/>
      <c r="M10" s="96" t="n"/>
      <c r="N10" s="96" t="n"/>
      <c r="O10" s="96" t="n"/>
      <c r="P10" s="96" t="n"/>
      <c r="Q10" s="96" t="n"/>
      <c r="R10" s="96" t="n"/>
      <c r="S10" s="96" t="n"/>
      <c r="T10" s="96" t="n"/>
      <c r="U10" s="96" t="n"/>
      <c r="V10" s="97" t="n"/>
      <c r="W10" s="38" t="inlineStr">
        <is>
          <t>תכולת ביטומן</t>
        </is>
      </c>
      <c r="X10" s="98" t="inlineStr">
        <is>
          <t>יחס מלאן -ביטומן</t>
        </is>
      </c>
      <c r="Y10" s="98" t="inlineStr">
        <is>
          <t>צפיפות
ריפ</t>
        </is>
      </c>
      <c r="Z10" s="98" t="inlineStr">
        <is>
          <t>צפיפות
ואקום</t>
        </is>
      </c>
      <c r="AA10" s="38" t="inlineStr">
        <is>
          <t>יציבות</t>
        </is>
      </c>
      <c r="AB10" s="38" t="inlineStr">
        <is>
          <t>נזילות</t>
        </is>
      </c>
      <c r="AC10" s="38" t="inlineStr">
        <is>
          <t>חוזק משתייר</t>
        </is>
      </c>
      <c r="AD10" s="38" t="inlineStr">
        <is>
          <t>אחוז חלל</t>
        </is>
      </c>
      <c r="AE10" s="38" t="inlineStr">
        <is>
          <t>V.M.A</t>
        </is>
      </c>
      <c r="AF10" s="38" t="inlineStr">
        <is>
          <t>צפיפות אפקטיבית</t>
        </is>
      </c>
      <c r="AG10" s="38" t="inlineStr">
        <is>
          <t>התנקזות</t>
        </is>
      </c>
      <c r="AH10" s="38" t="inlineStr">
        <is>
          <t>שחיקת קנתברו</t>
        </is>
      </c>
      <c r="AI10" s="99" t="inlineStr">
        <is>
          <t>מבדקה מבצעת</t>
        </is>
      </c>
      <c r="AJ10" s="41" t="inlineStr">
        <is>
          <t>מעמד החומר</t>
        </is>
      </c>
      <c r="AK10" s="99" t="inlineStr">
        <is>
          <t>מס' תעודה</t>
        </is>
      </c>
      <c r="AL10" s="32" t="inlineStr">
        <is>
          <t>הערות</t>
        </is>
      </c>
    </row>
    <row r="11" ht="15.65" customHeight="1" thickBot="1">
      <c r="A11" s="100" t="n"/>
      <c r="B11" s="100" t="n"/>
      <c r="C11" s="100" t="n"/>
      <c r="D11" s="101" t="n"/>
      <c r="E11" s="100" t="n"/>
      <c r="F11" s="95" t="inlineStr">
        <is>
          <t>מחתך</t>
        </is>
      </c>
      <c r="G11" s="95" t="inlineStr">
        <is>
          <t>עד חתך</t>
        </is>
      </c>
      <c r="H11" s="102" t="n"/>
      <c r="I11" s="103" t="n"/>
      <c r="J11" s="39" t="inlineStr">
        <is>
          <t>1.5"</t>
        </is>
      </c>
      <c r="K11" s="39" t="inlineStr">
        <is>
          <t>1"</t>
        </is>
      </c>
      <c r="L11" s="39" t="inlineStr">
        <is>
          <t>3/4"</t>
        </is>
      </c>
      <c r="M11" s="39" t="inlineStr">
        <is>
          <t>14 mm</t>
        </is>
      </c>
      <c r="N11" s="39" t="inlineStr">
        <is>
          <t>1/2"</t>
        </is>
      </c>
      <c r="O11" s="39" t="inlineStr">
        <is>
          <t>3/8"</t>
        </is>
      </c>
      <c r="P11" s="39" t="inlineStr">
        <is>
          <t>8 mm</t>
        </is>
      </c>
      <c r="Q11" s="39" t="inlineStr">
        <is>
          <t>4#</t>
        </is>
      </c>
      <c r="R11" s="39" t="inlineStr">
        <is>
          <t>10#</t>
        </is>
      </c>
      <c r="S11" s="39" t="inlineStr">
        <is>
          <t>20#</t>
        </is>
      </c>
      <c r="T11" s="39" t="inlineStr">
        <is>
          <t>40#</t>
        </is>
      </c>
      <c r="U11" s="39" t="inlineStr">
        <is>
          <t>80#</t>
        </is>
      </c>
      <c r="V11" s="39" t="inlineStr">
        <is>
          <t>200#</t>
        </is>
      </c>
      <c r="W11" s="103" t="n"/>
      <c r="X11" s="104" t="n"/>
      <c r="Y11" s="104" t="n"/>
      <c r="Z11" s="104" t="n"/>
      <c r="AA11" s="103" t="n"/>
      <c r="AB11" s="103" t="n"/>
      <c r="AC11" s="103" t="n"/>
      <c r="AD11" s="103" t="n"/>
      <c r="AE11" s="39" t="inlineStr">
        <is>
          <t>(%)</t>
        </is>
      </c>
      <c r="AF11" s="103" t="n"/>
      <c r="AG11" s="39" t="inlineStr">
        <is>
          <t>(%)</t>
        </is>
      </c>
      <c r="AH11" s="39" t="inlineStr">
        <is>
          <t>(%)</t>
        </is>
      </c>
      <c r="AI11" s="105" t="n"/>
      <c r="AJ11" s="103" t="n"/>
      <c r="AK11" s="105" t="n"/>
      <c r="AL11" s="106" t="n"/>
    </row>
    <row r="12" ht="25.5" customHeight="1" thickBot="1">
      <c r="A12" s="107" t="n"/>
      <c r="B12" s="107" t="n"/>
      <c r="C12" s="107" t="n"/>
      <c r="D12" s="108" t="n"/>
      <c r="E12" s="107" t="n"/>
      <c r="F12" s="107" t="n"/>
      <c r="G12" s="107" t="n"/>
      <c r="H12" s="37" t="inlineStr">
        <is>
          <t>סטייה</t>
        </is>
      </c>
      <c r="I12" s="109" t="n"/>
      <c r="J12" s="3" t="n"/>
      <c r="K12" s="3" t="n"/>
      <c r="L12" s="4" t="n"/>
      <c r="M12" s="5" t="inlineStr">
        <is>
          <t>+_5</t>
        </is>
      </c>
      <c r="N12" s="5" t="inlineStr">
        <is>
          <t>+_5</t>
        </is>
      </c>
      <c r="O12" s="5" t="inlineStr">
        <is>
          <t>+_5</t>
        </is>
      </c>
      <c r="P12" s="5" t="inlineStr">
        <is>
          <t>+_5</t>
        </is>
      </c>
      <c r="Q12" s="5" t="inlineStr">
        <is>
          <t>+_5</t>
        </is>
      </c>
      <c r="R12" s="5" t="inlineStr">
        <is>
          <t>+_4</t>
        </is>
      </c>
      <c r="S12" s="5" t="inlineStr">
        <is>
          <t>+_4</t>
        </is>
      </c>
      <c r="T12" s="5" t="inlineStr">
        <is>
          <t>+_3</t>
        </is>
      </c>
      <c r="U12" s="5" t="inlineStr">
        <is>
          <t>+_3</t>
        </is>
      </c>
      <c r="V12" s="5" t="inlineStr">
        <is>
          <t>+_1.5</t>
        </is>
      </c>
      <c r="W12" s="6" t="inlineStr">
        <is>
          <t>+_0.2/0.3%</t>
        </is>
      </c>
      <c r="X12" s="6" t="inlineStr">
        <is>
          <t>min 1.05  max 1.45</t>
        </is>
      </c>
      <c r="Y12" s="6" t="n"/>
      <c r="Z12" s="6" t="inlineStr">
        <is>
          <t>+_50</t>
        </is>
      </c>
      <c r="AA12" s="6" t="inlineStr">
        <is>
          <t>1800  min</t>
        </is>
      </c>
      <c r="AB12" s="6" t="inlineStr">
        <is>
          <t>8-16</t>
        </is>
      </c>
      <c r="AC12" s="6" t="inlineStr">
        <is>
          <t>75% mhn</t>
        </is>
      </c>
      <c r="AD12" s="6" t="inlineStr">
        <is>
          <t>min 3.5-max 9.5</t>
        </is>
      </c>
      <c r="AE12" s="7" t="n"/>
      <c r="AF12" s="8" t="n"/>
      <c r="AG12" s="9" t="n"/>
      <c r="AH12" s="8" t="n"/>
      <c r="AI12" s="110" t="n"/>
      <c r="AJ12" s="10" t="inlineStr">
        <is>
          <t>OK/NC</t>
        </is>
      </c>
      <c r="AK12" s="110" t="n"/>
      <c r="AL12" s="106" t="n"/>
    </row>
    <row r="13" ht="25" customHeight="1">
      <c r="A13" s="11" t="n"/>
      <c r="B13" s="11" t="n"/>
      <c r="C13" s="15" t="n"/>
      <c r="D13" s="12" t="n"/>
      <c r="E13" s="13" t="n"/>
      <c r="F13" s="11" t="n"/>
      <c r="G13" s="11" t="n"/>
      <c r="H13" s="25" t="n"/>
      <c r="I13" s="111" t="n"/>
      <c r="J13" s="25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8" t="n"/>
      <c r="AL13" s="20" t="n"/>
    </row>
    <row r="14" ht="25" customHeight="1">
      <c r="A14" s="11" t="n"/>
      <c r="B14" s="11" t="n"/>
      <c r="C14" s="11" t="n"/>
      <c r="D14" s="12" t="n"/>
      <c r="E14" s="13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6" t="n"/>
      <c r="AF14" s="16" t="n"/>
      <c r="AG14" s="16" t="n"/>
      <c r="AH14" s="16" t="n"/>
      <c r="AI14" s="16" t="n"/>
      <c r="AJ14" s="11" t="n"/>
      <c r="AK14" s="19" t="n"/>
      <c r="AL14" s="20" t="n"/>
    </row>
    <row r="15" ht="25" customHeight="1">
      <c r="A15" s="11" t="n"/>
      <c r="B15" s="11" t="n"/>
      <c r="C15" s="11" t="n"/>
      <c r="D15" s="12" t="n"/>
      <c r="E15" s="13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6" t="n"/>
      <c r="AF15" s="16" t="n"/>
      <c r="AG15" s="16" t="n"/>
      <c r="AH15" s="16" t="n"/>
      <c r="AI15" s="16" t="n"/>
      <c r="AJ15" s="11" t="n"/>
      <c r="AK15" s="19" t="n"/>
      <c r="AL15" s="20" t="n"/>
    </row>
  </sheetData>
  <mergeCells count="35">
    <mergeCell ref="AD10:AD11"/>
    <mergeCell ref="AF10:AF11"/>
    <mergeCell ref="F10:G10"/>
    <mergeCell ref="L2:S2"/>
    <mergeCell ref="N5:S5"/>
    <mergeCell ref="AJ10:AJ11"/>
    <mergeCell ref="Y10:Y11"/>
    <mergeCell ref="A10:A12"/>
    <mergeCell ref="AL10:AL12"/>
    <mergeCell ref="L5:M5"/>
    <mergeCell ref="AC10:AC11"/>
    <mergeCell ref="L7:O7"/>
    <mergeCell ref="D10:D12"/>
    <mergeCell ref="AI10:AI12"/>
    <mergeCell ref="X10:X11"/>
    <mergeCell ref="N6:S6"/>
    <mergeCell ref="Z10:Z11"/>
    <mergeCell ref="J10:V10"/>
    <mergeCell ref="L4:M4"/>
    <mergeCell ref="C10:C12"/>
    <mergeCell ref="H13:I13"/>
    <mergeCell ref="F11:F12"/>
    <mergeCell ref="I10:I11"/>
    <mergeCell ref="N4:S4"/>
    <mergeCell ref="AB10:AB11"/>
    <mergeCell ref="W10:W11"/>
    <mergeCell ref="H12:I12"/>
    <mergeCell ref="L6:M6"/>
    <mergeCell ref="B10:B12"/>
    <mergeCell ref="E10:E12"/>
    <mergeCell ref="P7:S7"/>
    <mergeCell ref="G11:G12"/>
    <mergeCell ref="H10:H11"/>
    <mergeCell ref="AK10:AK12"/>
    <mergeCell ref="AA10:A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6"/>
  <sheetViews>
    <sheetView rightToLeft="1" tabSelected="1" workbookViewId="0">
      <selection activeCell="C17" sqref="C17"/>
    </sheetView>
  </sheetViews>
  <sheetFormatPr baseColWidth="8" defaultRowHeight="14"/>
  <cols>
    <col width="9.08203125" bestFit="1" customWidth="1" min="3" max="3"/>
    <col width="13" customWidth="1" min="4" max="4"/>
    <col width="23.1640625" customWidth="1" min="5" max="5"/>
    <col width="10.08203125" bestFit="1" customWidth="1" min="27" max="27"/>
  </cols>
  <sheetData>
    <row r="1" ht="14.5" customHeight="1" thickBot="1"/>
    <row r="2" ht="18.5" customHeight="1" thickBot="1">
      <c r="L2" s="112" t="inlineStr">
        <is>
          <t xml:space="preserve"> דו"ח ריכוז בקרת אספלטים</t>
        </is>
      </c>
      <c r="M2" s="113" t="n"/>
      <c r="N2" s="113" t="n"/>
      <c r="O2" s="113" t="n"/>
      <c r="P2" s="113" t="n"/>
      <c r="Q2" s="113" t="n"/>
      <c r="R2" s="113" t="n"/>
      <c r="S2" s="114" t="n"/>
    </row>
    <row r="3" ht="18.5" customHeight="1" thickBot="1">
      <c r="L3" s="115" t="inlineStr">
        <is>
          <t>אספלט תא"צ 25 נושאת גירי/דולומיטי א' PG68-10</t>
        </is>
      </c>
      <c r="M3" s="81" t="n"/>
      <c r="N3" s="81" t="n"/>
      <c r="O3" s="81" t="n"/>
      <c r="P3" s="81" t="n"/>
      <c r="Q3" s="81" t="n"/>
      <c r="R3" s="81" t="n"/>
      <c r="S3" s="82" t="n"/>
    </row>
    <row r="4" ht="18.5" customHeight="1" thickBot="1">
      <c r="L4" s="24" t="n"/>
      <c r="M4" s="24" t="n"/>
      <c r="N4" s="24" t="n"/>
      <c r="O4" s="24" t="n"/>
      <c r="P4" s="24" t="n"/>
      <c r="Q4" s="24" t="n"/>
      <c r="R4" s="24" t="n"/>
      <c r="S4" s="24" t="n"/>
    </row>
    <row r="5" ht="14.5" customHeight="1" thickBot="1">
      <c r="L5" s="83" t="inlineStr">
        <is>
          <t>שם פרויקט:</t>
        </is>
      </c>
      <c r="M5" s="84" t="n"/>
      <c r="N5" s="85" t="n"/>
      <c r="O5" s="81" t="n"/>
      <c r="P5" s="81" t="n"/>
      <c r="Q5" s="81" t="n"/>
      <c r="R5" s="81" t="n"/>
      <c r="S5" s="82" t="n"/>
    </row>
    <row r="6" ht="14.5" customHeight="1" thickBot="1">
      <c r="L6" s="86" t="inlineStr">
        <is>
          <t>ניהול פרויקט</t>
        </is>
      </c>
      <c r="M6" s="87" t="n"/>
      <c r="N6" s="85" t="n"/>
      <c r="O6" s="81" t="n"/>
      <c r="P6" s="81" t="n"/>
      <c r="Q6" s="81" t="n"/>
      <c r="R6" s="81" t="n"/>
      <c r="S6" s="82" t="n"/>
    </row>
    <row r="7" ht="14.5" customHeight="1" thickBot="1">
      <c r="L7" s="88" t="inlineStr">
        <is>
          <t>שם הקבלן</t>
        </is>
      </c>
      <c r="M7" s="89" t="n"/>
      <c r="N7" s="85" t="n"/>
      <c r="O7" s="81" t="n"/>
      <c r="P7" s="81" t="n"/>
      <c r="Q7" s="81" t="n"/>
      <c r="R7" s="81" t="n"/>
      <c r="S7" s="82" t="n"/>
    </row>
    <row r="8" ht="14.5" customHeight="1" thickBot="1">
      <c r="B8" s="23" t="n"/>
      <c r="C8" s="23" t="n"/>
      <c r="D8" s="23" t="n"/>
      <c r="E8" s="23" t="n"/>
      <c r="F8" s="23" t="n"/>
      <c r="G8" s="23" t="n"/>
      <c r="H8" s="23" t="n"/>
      <c r="I8" s="23" t="n"/>
      <c r="L8" s="90" t="inlineStr">
        <is>
          <t>קונטרולינג פריים בע"מ</t>
        </is>
      </c>
      <c r="M8" s="81" t="n"/>
      <c r="N8" s="81" t="n"/>
      <c r="O8" s="82" t="n"/>
      <c r="P8" s="90" t="inlineStr">
        <is>
          <t>הבטחת איכות -א.ו.ג.ן. בע"מ</t>
        </is>
      </c>
      <c r="Q8" s="81" t="n"/>
      <c r="R8" s="81" t="n"/>
      <c r="S8" s="82" t="n"/>
    </row>
    <row r="9">
      <c r="B9" s="23" t="n"/>
      <c r="C9" s="23" t="n"/>
      <c r="D9" s="23" t="n"/>
      <c r="E9" s="23" t="n"/>
      <c r="F9" s="23" t="n"/>
      <c r="G9" s="23" t="n"/>
      <c r="H9" s="23" t="n"/>
      <c r="I9" s="23" t="n"/>
    </row>
    <row r="10" ht="14.5" customHeight="1" thickBot="1"/>
    <row r="11" ht="30.65" customHeight="1" thickBot="1">
      <c r="A11" s="91" t="inlineStr">
        <is>
          <t>ביצוע ע"י QC/QA</t>
        </is>
      </c>
      <c r="B11" s="92" t="inlineStr">
        <is>
          <t>מס' רשימת תיוג</t>
        </is>
      </c>
      <c r="C11" s="50" t="inlineStr">
        <is>
          <t>מספר מדגם</t>
        </is>
      </c>
      <c r="D11" s="93" t="inlineStr">
        <is>
          <t>תאריך</t>
        </is>
      </c>
      <c r="E11" s="94" t="inlineStr">
        <is>
          <t>סוג תערובת</t>
        </is>
      </c>
      <c r="F11" s="95" t="inlineStr">
        <is>
          <t>קטע פיזור</t>
        </is>
      </c>
      <c r="G11" s="82" t="n"/>
      <c r="H11" s="61" t="inlineStr">
        <is>
          <t>מס' מנה</t>
        </is>
      </c>
      <c r="I11" s="38" t="inlineStr">
        <is>
          <t>כמות פיזור יומית</t>
        </is>
      </c>
      <c r="J11" s="38" t="inlineStr">
        <is>
          <t>קו דירוג     (% עובר)</t>
        </is>
      </c>
      <c r="K11" s="96" t="n"/>
      <c r="L11" s="96" t="n"/>
      <c r="M11" s="96" t="n"/>
      <c r="N11" s="96" t="n"/>
      <c r="O11" s="96" t="n"/>
      <c r="P11" s="96" t="n"/>
      <c r="Q11" s="96" t="n"/>
      <c r="R11" s="96" t="n"/>
      <c r="S11" s="96" t="n"/>
      <c r="T11" s="96" t="n"/>
      <c r="U11" s="96" t="n"/>
      <c r="V11" s="97" t="n"/>
      <c r="W11" s="38" t="inlineStr">
        <is>
          <t>תכולת ביטומן</t>
        </is>
      </c>
      <c r="X11" s="98" t="inlineStr">
        <is>
          <t>יחס מלאן -ביטומן</t>
        </is>
      </c>
      <c r="Y11" s="98" t="inlineStr">
        <is>
          <t>צפיפות
ריפ</t>
        </is>
      </c>
      <c r="Z11" s="98" t="inlineStr">
        <is>
          <t>צפיפות
ואקום</t>
        </is>
      </c>
      <c r="AA11" s="38" t="inlineStr">
        <is>
          <t>יציבות</t>
        </is>
      </c>
      <c r="AB11" s="38" t="inlineStr">
        <is>
          <t>נזילות</t>
        </is>
      </c>
      <c r="AC11" s="38" t="inlineStr">
        <is>
          <t>חוזק משתייר</t>
        </is>
      </c>
      <c r="AD11" s="38" t="inlineStr">
        <is>
          <t>אחוז חלל</t>
        </is>
      </c>
      <c r="AE11" s="38" t="inlineStr">
        <is>
          <t>V.M.A</t>
        </is>
      </c>
      <c r="AF11" s="38" t="inlineStr">
        <is>
          <t>צפיפות אפקטיבית</t>
        </is>
      </c>
      <c r="AG11" s="38" t="inlineStr">
        <is>
          <t>התנקזות</t>
        </is>
      </c>
      <c r="AH11" s="38" t="inlineStr">
        <is>
          <t>שחיקת קנתברו</t>
        </is>
      </c>
      <c r="AI11" s="99" t="inlineStr">
        <is>
          <t>מבדקה מבצעת</t>
        </is>
      </c>
      <c r="AJ11" s="41" t="inlineStr">
        <is>
          <t>מעמד החומר</t>
        </is>
      </c>
      <c r="AK11" s="99" t="inlineStr">
        <is>
          <t>מס' תעודה</t>
        </is>
      </c>
      <c r="AL11" s="32" t="inlineStr">
        <is>
          <t>הערות</t>
        </is>
      </c>
    </row>
    <row r="12" ht="15.65" customHeight="1" thickBot="1">
      <c r="A12" s="100" t="n"/>
      <c r="B12" s="100" t="n"/>
      <c r="C12" s="100" t="n"/>
      <c r="D12" s="101" t="n"/>
      <c r="E12" s="100" t="n"/>
      <c r="F12" s="95" t="inlineStr">
        <is>
          <t>מחתך</t>
        </is>
      </c>
      <c r="G12" s="95" t="inlineStr">
        <is>
          <t>עד חתך</t>
        </is>
      </c>
      <c r="H12" s="102" t="n"/>
      <c r="I12" s="103" t="n"/>
      <c r="J12" s="39" t="inlineStr">
        <is>
          <t>1.5"</t>
        </is>
      </c>
      <c r="K12" s="39" t="inlineStr">
        <is>
          <t>1"</t>
        </is>
      </c>
      <c r="L12" s="39" t="inlineStr">
        <is>
          <t>3/4"</t>
        </is>
      </c>
      <c r="M12" s="39" t="inlineStr">
        <is>
          <t>14 mm</t>
        </is>
      </c>
      <c r="N12" s="39" t="inlineStr">
        <is>
          <t>1/2"</t>
        </is>
      </c>
      <c r="O12" s="39" t="inlineStr">
        <is>
          <t>3/8"</t>
        </is>
      </c>
      <c r="P12" s="39" t="inlineStr">
        <is>
          <t>8 mm</t>
        </is>
      </c>
      <c r="Q12" s="39" t="inlineStr">
        <is>
          <t>4#</t>
        </is>
      </c>
      <c r="R12" s="39" t="inlineStr">
        <is>
          <t>10#</t>
        </is>
      </c>
      <c r="S12" s="39" t="inlineStr">
        <is>
          <t>20#</t>
        </is>
      </c>
      <c r="T12" s="39" t="inlineStr">
        <is>
          <t>40#</t>
        </is>
      </c>
      <c r="U12" s="39" t="inlineStr">
        <is>
          <t>80#</t>
        </is>
      </c>
      <c r="V12" s="39" t="inlineStr">
        <is>
          <t>200#</t>
        </is>
      </c>
      <c r="W12" s="103" t="n"/>
      <c r="X12" s="104" t="n"/>
      <c r="Y12" s="104" t="n"/>
      <c r="Z12" s="104" t="n"/>
      <c r="AA12" s="103" t="n"/>
      <c r="AB12" s="103" t="n"/>
      <c r="AC12" s="103" t="n"/>
      <c r="AD12" s="103" t="n"/>
      <c r="AE12" s="39" t="inlineStr">
        <is>
          <t>(%)</t>
        </is>
      </c>
      <c r="AF12" s="103" t="n"/>
      <c r="AG12" s="39" t="inlineStr">
        <is>
          <t>(%)</t>
        </is>
      </c>
      <c r="AH12" s="39" t="inlineStr">
        <is>
          <t>(%)</t>
        </is>
      </c>
      <c r="AI12" s="105" t="n"/>
      <c r="AJ12" s="103" t="n"/>
      <c r="AK12" s="105" t="n"/>
      <c r="AL12" s="106" t="n"/>
    </row>
    <row r="13" ht="25.5" customHeight="1" thickBot="1">
      <c r="A13" s="107" t="n"/>
      <c r="B13" s="107" t="n"/>
      <c r="C13" s="100" t="n"/>
      <c r="D13" s="108" t="n"/>
      <c r="E13" s="107" t="n"/>
      <c r="F13" s="107" t="n"/>
      <c r="G13" s="107" t="n"/>
      <c r="H13" s="37" t="n"/>
      <c r="I13" s="109" t="n"/>
      <c r="J13" s="3" t="n"/>
      <c r="K13" s="3" t="n"/>
      <c r="L13" s="4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7" t="n"/>
      <c r="AF13" s="8" t="n"/>
      <c r="AG13" s="9" t="n"/>
      <c r="AH13" s="8" t="n"/>
      <c r="AI13" s="110" t="n"/>
      <c r="AJ13" s="10" t="n"/>
      <c r="AK13" s="110" t="n"/>
      <c r="AL13" s="106" t="n"/>
    </row>
    <row r="14" ht="25" customHeight="1">
      <c r="A14" s="11" t="n"/>
      <c r="B14" s="19" t="n"/>
      <c r="C14" s="79" t="n"/>
      <c r="D14" s="78" t="n"/>
      <c r="E14" s="13" t="n"/>
      <c r="F14" s="11" t="n"/>
      <c r="G14" s="11" t="n"/>
      <c r="H14" s="25" t="n"/>
      <c r="I14" s="111" t="n"/>
      <c r="J14" s="25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8" t="n"/>
      <c r="AL14" s="20" t="n"/>
    </row>
    <row r="15" ht="25" customHeight="1">
      <c r="A15" s="11" t="n"/>
      <c r="B15" s="19" t="n"/>
      <c r="C15" s="79" t="n"/>
      <c r="D15" s="78" t="n"/>
      <c r="E15" s="13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>
        <f>(2544+2547+2598)/3</f>
        <v/>
      </c>
      <c r="Z15" s="11" t="n"/>
      <c r="AA15" s="11" t="n"/>
      <c r="AB15" s="11">
        <f>(11+12+11)/3</f>
        <v/>
      </c>
      <c r="AC15" s="11">
        <f>Y15/AA15*100</f>
        <v/>
      </c>
      <c r="AD15" s="11" t="n"/>
      <c r="AE15" s="16" t="n"/>
      <c r="AF15" s="16" t="n"/>
      <c r="AG15" s="16" t="n"/>
      <c r="AH15" s="16" t="n"/>
      <c r="AI15" s="16" t="n"/>
      <c r="AJ15" s="11" t="n"/>
      <c r="AK15" s="19" t="n"/>
      <c r="AL15" s="20" t="n"/>
    </row>
    <row r="16" ht="25" customHeight="1">
      <c r="A16" s="11" t="n"/>
      <c r="B16" s="19" t="n"/>
      <c r="C16" s="79" t="n"/>
      <c r="D16" s="78" t="n"/>
      <c r="E16" s="13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>
        <f>(2544+2547+2598)/3</f>
        <v/>
      </c>
      <c r="Z16" s="11" t="n"/>
      <c r="AA16" s="11" t="n"/>
      <c r="AB16" s="11">
        <f>(11+12+12)/3</f>
        <v/>
      </c>
      <c r="AC16" s="11" t="n"/>
      <c r="AD16" s="11" t="n"/>
      <c r="AE16" s="16" t="n"/>
      <c r="AF16" s="16" t="n"/>
      <c r="AG16" s="16" t="n"/>
      <c r="AH16" s="16" t="n"/>
      <c r="AI16" s="16" t="n"/>
      <c r="AJ16" s="11" t="n"/>
      <c r="AK16" s="19" t="n"/>
      <c r="AL16" s="20" t="n"/>
    </row>
  </sheetData>
  <mergeCells count="36">
    <mergeCell ref="F11:G11"/>
    <mergeCell ref="L7:M7"/>
    <mergeCell ref="L2:S2"/>
    <mergeCell ref="N5:S5"/>
    <mergeCell ref="F12:F13"/>
    <mergeCell ref="C11:C13"/>
    <mergeCell ref="AJ11:AJ12"/>
    <mergeCell ref="E11:E13"/>
    <mergeCell ref="AK11:AK13"/>
    <mergeCell ref="H11:H12"/>
    <mergeCell ref="Y11:Y12"/>
    <mergeCell ref="L3:S3"/>
    <mergeCell ref="L5:M5"/>
    <mergeCell ref="AB11:AB12"/>
    <mergeCell ref="AD11:AD12"/>
    <mergeCell ref="N6:S6"/>
    <mergeCell ref="W11:W12"/>
    <mergeCell ref="AF11:AF12"/>
    <mergeCell ref="A11:A13"/>
    <mergeCell ref="B11:B13"/>
    <mergeCell ref="AL11:AL13"/>
    <mergeCell ref="P8:S8"/>
    <mergeCell ref="H13:I13"/>
    <mergeCell ref="H14:I14"/>
    <mergeCell ref="AC11:AC12"/>
    <mergeCell ref="Z11:Z12"/>
    <mergeCell ref="L8:O8"/>
    <mergeCell ref="N7:S7"/>
    <mergeCell ref="L6:M6"/>
    <mergeCell ref="AA11:AA12"/>
    <mergeCell ref="G12:G13"/>
    <mergeCell ref="D11:D13"/>
    <mergeCell ref="AI11:AI13"/>
    <mergeCell ref="X11:X12"/>
    <mergeCell ref="I11:I12"/>
    <mergeCell ref="J11:V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9"/>
  <sheetViews>
    <sheetView rightToLeft="1" topLeftCell="A10" workbookViewId="0">
      <selection activeCell="AD13" sqref="AD13"/>
    </sheetView>
  </sheetViews>
  <sheetFormatPr baseColWidth="8" defaultRowHeight="14"/>
  <cols>
    <col width="9.08203125" bestFit="1" customWidth="1" min="3" max="3"/>
    <col width="13" customWidth="1" min="4" max="4"/>
    <col width="23.1640625" customWidth="1" min="5" max="5"/>
  </cols>
  <sheetData>
    <row r="1" ht="14.5" customHeight="1" thickBot="1"/>
    <row r="2" ht="18.5" customHeight="1" thickBot="1">
      <c r="L2" s="80" t="inlineStr">
        <is>
          <t xml:space="preserve"> דו"ח ריכוז בקרת אספחטים</t>
        </is>
      </c>
      <c r="M2" s="81" t="n"/>
      <c r="N2" s="81" t="n"/>
      <c r="O2" s="81" t="n"/>
      <c r="P2" s="81" t="n"/>
      <c r="Q2" s="81" t="n"/>
      <c r="R2" s="81" t="n"/>
      <c r="S2" s="82" t="n"/>
    </row>
    <row r="3" ht="18.5" customHeight="1" thickBot="1">
      <c r="L3" s="24" t="n"/>
      <c r="M3" s="24" t="n"/>
      <c r="N3" s="24" t="n"/>
      <c r="O3" s="24" t="n"/>
      <c r="P3" s="24" t="n"/>
      <c r="Q3" s="24" t="n"/>
      <c r="R3" s="24" t="n"/>
      <c r="S3" s="24" t="n"/>
    </row>
    <row r="4" ht="14.5" customHeight="1" thickBot="1">
      <c r="L4" s="83" t="inlineStr">
        <is>
          <t>שם פרויקט:</t>
        </is>
      </c>
      <c r="M4" s="84" t="n"/>
      <c r="N4" s="85" t="inlineStr">
        <is>
          <t>כביש 807 מגאר צומת קריית חינוך</t>
        </is>
      </c>
      <c r="O4" s="81" t="n"/>
      <c r="P4" s="81" t="n"/>
      <c r="Q4" s="81" t="n"/>
      <c r="R4" s="81" t="n"/>
      <c r="S4" s="82" t="n"/>
    </row>
    <row r="5" ht="14.5" customHeight="1" thickBot="1">
      <c r="L5" s="86" t="inlineStr">
        <is>
          <t>ניהול פרויקט</t>
        </is>
      </c>
      <c r="M5" s="87" t="n"/>
      <c r="N5" s="85" t="inlineStr">
        <is>
          <t>גיאוכום בע"מ</t>
        </is>
      </c>
      <c r="O5" s="81" t="n"/>
      <c r="P5" s="81" t="n"/>
      <c r="Q5" s="81" t="n"/>
      <c r="R5" s="81" t="n"/>
      <c r="S5" s="82" t="n"/>
    </row>
    <row r="6" ht="14.5" customHeight="1" thickBot="1">
      <c r="L6" s="88" t="inlineStr">
        <is>
          <t>שם הקבלן</t>
        </is>
      </c>
      <c r="M6" s="89" t="n"/>
      <c r="N6" s="85" t="inlineStr">
        <is>
          <t>ד.א תשתיות פיתוח ובניה בע"מ</t>
        </is>
      </c>
      <c r="O6" s="81" t="n"/>
      <c r="P6" s="81" t="n"/>
      <c r="Q6" s="81" t="n"/>
      <c r="R6" s="81" t="n"/>
      <c r="S6" s="82" t="n"/>
    </row>
    <row r="7" ht="14.5" customHeight="1" thickBot="1">
      <c r="B7" s="23" t="n"/>
      <c r="C7" s="23" t="n"/>
      <c r="D7" s="23" t="n"/>
      <c r="E7" s="23" t="n"/>
      <c r="F7" s="23" t="n"/>
      <c r="G7" s="23" t="n"/>
      <c r="H7" s="23" t="n"/>
      <c r="I7" s="23" t="n"/>
      <c r="L7" s="90" t="inlineStr">
        <is>
          <t>בקרת איכות- א.ש רנד הנדסה בע"מ</t>
        </is>
      </c>
      <c r="M7" s="81" t="n"/>
      <c r="N7" s="81" t="n"/>
      <c r="O7" s="82" t="n"/>
      <c r="P7" s="90" t="inlineStr">
        <is>
          <t>הבטחת איכות -גיאוכום</t>
        </is>
      </c>
      <c r="Q7" s="81" t="n"/>
      <c r="R7" s="81" t="n"/>
      <c r="S7" s="82" t="n"/>
    </row>
    <row r="8">
      <c r="B8" s="23" t="n"/>
      <c r="C8" s="23" t="n"/>
      <c r="D8" s="23" t="n"/>
      <c r="E8" s="23" t="n"/>
      <c r="F8" s="23" t="n"/>
      <c r="G8" s="23" t="n"/>
      <c r="H8" s="23" t="n"/>
      <c r="I8" s="23" t="n"/>
    </row>
    <row r="9" ht="14.5" customHeight="1" thickBot="1"/>
    <row r="10" ht="30.65" customHeight="1" thickBot="1">
      <c r="A10" s="91" t="inlineStr">
        <is>
          <t>ביצוע ע"י QC/QA</t>
        </is>
      </c>
      <c r="B10" s="92" t="inlineStr">
        <is>
          <t>מס' רשימת תיוג</t>
        </is>
      </c>
      <c r="C10" s="92" t="inlineStr">
        <is>
          <t>מספר מדגם</t>
        </is>
      </c>
      <c r="D10" s="93" t="inlineStr">
        <is>
          <t>תאריך</t>
        </is>
      </c>
      <c r="E10" s="94" t="inlineStr">
        <is>
          <t>סוג תערובת</t>
        </is>
      </c>
      <c r="F10" s="95" t="inlineStr">
        <is>
          <t>קטע פיזור</t>
        </is>
      </c>
      <c r="G10" s="82" t="n"/>
      <c r="H10" s="61" t="inlineStr">
        <is>
          <t>מס' מנה</t>
        </is>
      </c>
      <c r="I10" s="38" t="inlineStr">
        <is>
          <t>כמות פיזור יומית</t>
        </is>
      </c>
      <c r="J10" s="38" t="inlineStr">
        <is>
          <t>קו דירוג     (% עובר)</t>
        </is>
      </c>
      <c r="K10" s="96" t="n"/>
      <c r="L10" s="96" t="n"/>
      <c r="M10" s="96" t="n"/>
      <c r="N10" s="96" t="n"/>
      <c r="O10" s="96" t="n"/>
      <c r="P10" s="96" t="n"/>
      <c r="Q10" s="96" t="n"/>
      <c r="R10" s="96" t="n"/>
      <c r="S10" s="96" t="n"/>
      <c r="T10" s="97" t="n"/>
      <c r="U10" s="38" t="inlineStr">
        <is>
          <t>תכולת ביטומן</t>
        </is>
      </c>
      <c r="V10" s="98" t="inlineStr">
        <is>
          <t>יחס מלאן -ביטומן</t>
        </is>
      </c>
      <c r="W10" s="98" t="inlineStr">
        <is>
          <t>צפיפות
ריפ</t>
        </is>
      </c>
      <c r="X10" s="98" t="inlineStr">
        <is>
          <t>צפיפות
ואקום</t>
        </is>
      </c>
      <c r="Y10" s="38" t="inlineStr">
        <is>
          <t>יציבות</t>
        </is>
      </c>
      <c r="Z10" s="38" t="inlineStr">
        <is>
          <t>נזילות</t>
        </is>
      </c>
      <c r="AA10" s="38" t="inlineStr">
        <is>
          <t>חוזק משתייר</t>
        </is>
      </c>
      <c r="AB10" s="38" t="inlineStr">
        <is>
          <t>אחוז חלל</t>
        </is>
      </c>
      <c r="AC10" s="38" t="inlineStr">
        <is>
          <t>V.M.A</t>
        </is>
      </c>
      <c r="AD10" s="38" t="inlineStr">
        <is>
          <t>צפיפות אפקטיבית</t>
        </is>
      </c>
      <c r="AE10" s="38" t="inlineStr">
        <is>
          <t>התנקזות</t>
        </is>
      </c>
      <c r="AF10" s="38" t="inlineStr">
        <is>
          <t>שחיקת קנתברו</t>
        </is>
      </c>
      <c r="AG10" s="99" t="inlineStr">
        <is>
          <t>מבדקה מבצעת</t>
        </is>
      </c>
      <c r="AH10" s="41" t="inlineStr">
        <is>
          <t>מעמד החומר</t>
        </is>
      </c>
      <c r="AI10" s="99" t="inlineStr">
        <is>
          <t>מס' תעודה</t>
        </is>
      </c>
      <c r="AJ10" s="32" t="inlineStr">
        <is>
          <t>הערות</t>
        </is>
      </c>
    </row>
    <row r="11" ht="15.65" customHeight="1" thickBot="1">
      <c r="A11" s="100" t="n"/>
      <c r="B11" s="100" t="n"/>
      <c r="C11" s="100" t="n"/>
      <c r="D11" s="101" t="n"/>
      <c r="E11" s="100" t="n"/>
      <c r="F11" s="95" t="inlineStr">
        <is>
          <t>מחתך</t>
        </is>
      </c>
      <c r="G11" s="95" t="inlineStr">
        <is>
          <t>עד חתך</t>
        </is>
      </c>
      <c r="H11" s="102" t="n"/>
      <c r="I11" s="103" t="n"/>
      <c r="J11" s="39" t="inlineStr">
        <is>
          <t>1.5"</t>
        </is>
      </c>
      <c r="K11" s="39" t="inlineStr">
        <is>
          <t>1"</t>
        </is>
      </c>
      <c r="L11" s="39" t="inlineStr">
        <is>
          <t>3/4"</t>
        </is>
      </c>
      <c r="M11" s="39" t="inlineStr">
        <is>
          <t>1/2"</t>
        </is>
      </c>
      <c r="N11" s="39" t="inlineStr">
        <is>
          <t>3/8"</t>
        </is>
      </c>
      <c r="O11" s="39" t="inlineStr">
        <is>
          <t>4#</t>
        </is>
      </c>
      <c r="P11" s="39" t="inlineStr">
        <is>
          <t>10#</t>
        </is>
      </c>
      <c r="Q11" s="39" t="inlineStr">
        <is>
          <t>20#</t>
        </is>
      </c>
      <c r="R11" s="39" t="inlineStr">
        <is>
          <t>40#</t>
        </is>
      </c>
      <c r="S11" s="39" t="inlineStr">
        <is>
          <t>80#</t>
        </is>
      </c>
      <c r="T11" s="39" t="inlineStr">
        <is>
          <t>200#</t>
        </is>
      </c>
      <c r="U11" s="103" t="n"/>
      <c r="V11" s="104" t="n"/>
      <c r="W11" s="104" t="n"/>
      <c r="X11" s="104" t="n"/>
      <c r="Y11" s="103" t="n"/>
      <c r="Z11" s="103" t="n"/>
      <c r="AA11" s="103" t="n"/>
      <c r="AB11" s="103" t="n"/>
      <c r="AC11" s="39" t="inlineStr">
        <is>
          <t>(%)</t>
        </is>
      </c>
      <c r="AD11" s="103" t="n"/>
      <c r="AE11" s="39" t="inlineStr">
        <is>
          <t>(%)</t>
        </is>
      </c>
      <c r="AF11" s="39" t="inlineStr">
        <is>
          <t>(%)</t>
        </is>
      </c>
      <c r="AG11" s="105" t="n"/>
      <c r="AH11" s="103" t="n"/>
      <c r="AI11" s="105" t="n"/>
      <c r="AJ11" s="106" t="n"/>
    </row>
    <row r="12" ht="25.5" customHeight="1" thickBot="1">
      <c r="A12" s="107" t="n"/>
      <c r="B12" s="107" t="n"/>
      <c r="C12" s="107" t="n"/>
      <c r="D12" s="108" t="n"/>
      <c r="E12" s="107" t="n"/>
      <c r="F12" s="107" t="n"/>
      <c r="G12" s="107" t="n"/>
      <c r="H12" s="37" t="inlineStr">
        <is>
          <t>סטייה</t>
        </is>
      </c>
      <c r="I12" s="109" t="n"/>
      <c r="J12" s="3" t="n"/>
      <c r="K12" s="3" t="n"/>
      <c r="L12" s="4" t="n"/>
      <c r="M12" s="5" t="inlineStr">
        <is>
          <t>+_5</t>
        </is>
      </c>
      <c r="N12" s="5" t="inlineStr">
        <is>
          <t>+_5</t>
        </is>
      </c>
      <c r="O12" s="5" t="inlineStr">
        <is>
          <t>+_5</t>
        </is>
      </c>
      <c r="P12" s="5" t="inlineStr">
        <is>
          <t>+_4</t>
        </is>
      </c>
      <c r="Q12" s="5" t="inlineStr">
        <is>
          <t>+_4</t>
        </is>
      </c>
      <c r="R12" s="5" t="inlineStr">
        <is>
          <t>+_3</t>
        </is>
      </c>
      <c r="S12" s="5" t="inlineStr">
        <is>
          <t>+_3</t>
        </is>
      </c>
      <c r="T12" s="5" t="inlineStr">
        <is>
          <t>+_1.5</t>
        </is>
      </c>
      <c r="U12" s="6" t="inlineStr">
        <is>
          <t>+_0.2/0.3%</t>
        </is>
      </c>
      <c r="V12" s="6" t="inlineStr">
        <is>
          <t>+_0.3</t>
        </is>
      </c>
      <c r="W12" s="6" t="n"/>
      <c r="X12" s="6" t="inlineStr">
        <is>
          <t>+_50</t>
        </is>
      </c>
      <c r="Y12" s="6" t="inlineStr">
        <is>
          <t>1800  min</t>
        </is>
      </c>
      <c r="Z12" s="6" t="inlineStr">
        <is>
          <t>8-16</t>
        </is>
      </c>
      <c r="AA12" s="6" t="inlineStr">
        <is>
          <t>75% mhn</t>
        </is>
      </c>
      <c r="AB12" s="6" t="inlineStr">
        <is>
          <t>+_1%</t>
        </is>
      </c>
      <c r="AC12" s="7" t="n"/>
      <c r="AD12" s="8" t="n"/>
      <c r="AE12" s="9" t="n"/>
      <c r="AF12" s="8" t="n"/>
      <c r="AG12" s="110" t="n"/>
      <c r="AH12" s="10" t="inlineStr">
        <is>
          <t>OK/NC</t>
        </is>
      </c>
      <c r="AI12" s="110" t="n"/>
      <c r="AJ12" s="106" t="n"/>
    </row>
    <row r="13">
      <c r="A13" s="11" t="n"/>
      <c r="B13" s="11" t="n"/>
      <c r="C13" s="15" t="n"/>
      <c r="D13" s="12" t="n"/>
      <c r="E13" s="13" t="n"/>
      <c r="F13" s="11" t="n"/>
      <c r="G13" s="11" t="n"/>
      <c r="H13" s="25" t="n"/>
      <c r="I13" s="111" t="n"/>
      <c r="J13" s="25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8" t="n"/>
      <c r="AJ13" s="20" t="n"/>
    </row>
    <row r="14">
      <c r="A14" s="11" t="n"/>
      <c r="B14" s="11" t="n"/>
      <c r="C14" s="11" t="n"/>
      <c r="D14" s="12" t="n"/>
      <c r="E14" s="13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7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9" t="n"/>
      <c r="AJ14" s="20" t="n"/>
    </row>
    <row r="15">
      <c r="A15" s="11" t="n"/>
      <c r="B15" s="11" t="n"/>
      <c r="C15" s="11" t="n"/>
      <c r="D15" s="12" t="n"/>
      <c r="E15" s="13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7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21" t="n"/>
      <c r="AJ15" s="20" t="n"/>
    </row>
    <row r="16">
      <c r="A16" s="11" t="n"/>
      <c r="B16" s="11" t="n"/>
      <c r="C16" s="11" t="n"/>
      <c r="D16" s="12" t="n"/>
      <c r="E16" s="13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7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9" t="n"/>
      <c r="AI16" s="22" t="n"/>
      <c r="AJ16" s="20" t="n"/>
    </row>
    <row r="17">
      <c r="A17" s="11" t="n"/>
      <c r="B17" s="11" t="n"/>
      <c r="C17" s="11" t="n"/>
      <c r="D17" s="12" t="n"/>
      <c r="E17" s="13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7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9" t="n"/>
      <c r="AI17" s="22" t="n"/>
      <c r="AJ17" s="20" t="n"/>
    </row>
    <row r="18">
      <c r="A18" s="11" t="n"/>
      <c r="B18" s="11" t="n"/>
      <c r="C18" s="11" t="n"/>
      <c r="D18" s="12" t="n"/>
      <c r="E18" s="13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7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9" t="n"/>
      <c r="AI18" s="22" t="n"/>
      <c r="AJ18" s="20" t="n"/>
    </row>
    <row r="19">
      <c r="A19" s="11" t="n"/>
      <c r="B19" s="11" t="n"/>
      <c r="C19" s="11" t="n"/>
      <c r="D19" s="12" t="n"/>
      <c r="E19" s="13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7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9" t="n"/>
      <c r="AI19" s="22" t="n"/>
      <c r="AJ19" s="20" t="n"/>
    </row>
  </sheetData>
  <mergeCells count="35">
    <mergeCell ref="AD10:AD11"/>
    <mergeCell ref="L2:S2"/>
    <mergeCell ref="F10:G10"/>
    <mergeCell ref="N5:S5"/>
    <mergeCell ref="J10:T10"/>
    <mergeCell ref="V10:V11"/>
    <mergeCell ref="AH10:AH11"/>
    <mergeCell ref="Y10:Y11"/>
    <mergeCell ref="A10:A12"/>
    <mergeCell ref="L5:M5"/>
    <mergeCell ref="L7:O7"/>
    <mergeCell ref="D10:D12"/>
    <mergeCell ref="AG10:AG12"/>
    <mergeCell ref="AI10:AI12"/>
    <mergeCell ref="X10:X11"/>
    <mergeCell ref="N6:S6"/>
    <mergeCell ref="Z10:Z11"/>
    <mergeCell ref="L4:M4"/>
    <mergeCell ref="C10:C12"/>
    <mergeCell ref="H13:I13"/>
    <mergeCell ref="N4:S4"/>
    <mergeCell ref="F11:F12"/>
    <mergeCell ref="I10:I11"/>
    <mergeCell ref="U10:U11"/>
    <mergeCell ref="AB10:AB11"/>
    <mergeCell ref="W10:W11"/>
    <mergeCell ref="H12:I12"/>
    <mergeCell ref="L6:M6"/>
    <mergeCell ref="B10:B12"/>
    <mergeCell ref="E10:E12"/>
    <mergeCell ref="P7:S7"/>
    <mergeCell ref="G11:G12"/>
    <mergeCell ref="AJ10:AJ12"/>
    <mergeCell ref="H10:H11"/>
    <mergeCell ref="AA10:A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Younis Khateeb</dc:creator>
  <dcterms:created xmlns:dcterms="http://purl.org/dc/terms/" xmlns:xsi="http://www.w3.org/2001/XMLSchema-instance" xsi:type="dcterms:W3CDTF">2024-08-03T06:51:24Z</dcterms:created>
  <dcterms:modified xmlns:dcterms="http://purl.org/dc/terms/" xmlns:xsi="http://www.w3.org/2001/XMLSchema-instance" xsi:type="dcterms:W3CDTF">2026-04-27T16:52:22Z</dcterms:modified>
  <cp:lastModifiedBy>Younis Khateeb</cp:lastModifiedBy>
</cp:coreProperties>
</file>